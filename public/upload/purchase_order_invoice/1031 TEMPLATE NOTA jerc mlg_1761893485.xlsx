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157B2E-1B63-4F59-8DB6-C7B01A048C2E}" xr6:coauthVersionLast="47" xr6:coauthVersionMax="47" xr10:uidLastSave="{00000000-0000-0000-0000-000000000000}"/>
  <bookViews>
    <workbookView xWindow="-110" yWindow="-110" windowWidth="19420" windowHeight="10300" xr2:uid="{7D7B352B-B2C3-4F12-A223-D217CDE45511}"/>
  </bookViews>
  <sheets>
    <sheet name="Sheet1" sheetId="1" r:id="rId1"/>
  </sheets>
  <definedNames>
    <definedName name="_xlnm.Print_Area" localSheetId="0">Sheet1!$A$1:$S$13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" l="1"/>
  <c r="O26" i="1"/>
  <c r="S26" i="1" s="1"/>
  <c r="T25" i="1"/>
  <c r="O25" i="1"/>
  <c r="S25" i="1" s="1"/>
  <c r="T11" i="1"/>
  <c r="T10" i="1"/>
  <c r="T9" i="1"/>
  <c r="T8" i="1"/>
  <c r="T7" i="1"/>
  <c r="T6" i="1"/>
  <c r="O10" i="1"/>
  <c r="S10" i="1" s="1"/>
  <c r="O9" i="1"/>
  <c r="S9" i="1" s="1"/>
  <c r="O8" i="1"/>
  <c r="S8" i="1" s="1"/>
  <c r="O7" i="1"/>
  <c r="O6" i="1"/>
  <c r="O11" i="1"/>
  <c r="S11" i="1" s="1"/>
  <c r="S28" i="1" l="1"/>
  <c r="T28" i="1"/>
  <c r="O28" i="1"/>
  <c r="T13" i="1"/>
  <c r="O13" i="1"/>
  <c r="S7" i="1"/>
  <c r="S6" i="1"/>
  <c r="S13" i="1" l="1"/>
</calcChain>
</file>

<file path=xl/sharedStrings.xml><?xml version="1.0" encoding="utf-8"?>
<sst xmlns="http://schemas.openxmlformats.org/spreadsheetml/2006/main" count="82" uniqueCount="48">
  <si>
    <t>SIZE</t>
  </si>
  <si>
    <t>total</t>
  </si>
  <si>
    <t>S</t>
  </si>
  <si>
    <t>M</t>
  </si>
  <si>
    <t>L</t>
  </si>
  <si>
    <t>XL</t>
  </si>
  <si>
    <t>2XL</t>
  </si>
  <si>
    <t>BRAND</t>
  </si>
  <si>
    <t>KODE</t>
  </si>
  <si>
    <t>BAHAN</t>
  </si>
  <si>
    <t>WARNA</t>
  </si>
  <si>
    <t>JUAL</t>
  </si>
  <si>
    <t>COGS</t>
  </si>
  <si>
    <t>ARTIKEL</t>
  </si>
  <si>
    <t>ORDER</t>
  </si>
  <si>
    <t>SELISIH</t>
  </si>
  <si>
    <t>BANDROL</t>
  </si>
  <si>
    <t>PURCHASING</t>
  </si>
  <si>
    <t>LOGISTIK</t>
  </si>
  <si>
    <t>Total Cogs</t>
  </si>
  <si>
    <t>WHITE</t>
  </si>
  <si>
    <t>TRAINNIG ADIDAS PUTIH 1LS</t>
  </si>
  <si>
    <t>KW ADIDAS</t>
  </si>
  <si>
    <t>KODE ITEM/ NAMA ORDER</t>
  </si>
  <si>
    <t>CTADI</t>
  </si>
  <si>
    <t>PO</t>
  </si>
  <si>
    <t>A</t>
  </si>
  <si>
    <t>B</t>
  </si>
  <si>
    <t>3XL</t>
  </si>
  <si>
    <t>4XL</t>
  </si>
  <si>
    <t>KHUSUS</t>
  </si>
  <si>
    <t>CELANA</t>
  </si>
  <si>
    <t>JK25MUNH</t>
  </si>
  <si>
    <t>HOME</t>
  </si>
  <si>
    <t>RED</t>
  </si>
  <si>
    <t>25 MANCHESTER UNITED</t>
  </si>
  <si>
    <t>TOTAL</t>
  </si>
  <si>
    <t>QTY</t>
  </si>
  <si>
    <t>DISPUTE</t>
  </si>
  <si>
    <t>KATEGORI</t>
  </si>
  <si>
    <t>CONTOH PENGISIAN REKAP PEMBELIAN</t>
  </si>
  <si>
    <t>REKAP PEMBELIAN EXCEED MLG 1810</t>
  </si>
  <si>
    <t>Newcastle 3rd PI 1 lusin</t>
  </si>
  <si>
    <t>Chelsea 3rd PI 2 lusin</t>
  </si>
  <si>
    <t>Liverpool Away PI 2 lusin</t>
  </si>
  <si>
    <t>Arsenal Away PI 2 lusin</t>
  </si>
  <si>
    <t>PSG Home PI 1 lusin</t>
  </si>
  <si>
    <t>MU 3rd GO 2 lusin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</si>
</sst>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/mmm;@"/>
    <numFmt numFmtId="165" formatCode="_(* #,##0_);_(* \(#,##0\);_(* &quot;-&quot;??_);_(@_)"/>
    <numFmt numFmtId="166" formatCode="_-[$Rp-421]* #,##0_-;\-[$Rp-421]* #,##0_-;_-[$Rp-421]* &quot;-&quot;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7" borderId="1" xfId="0" applyFill="1" applyBorder="1"/>
    <xf numFmtId="165" fontId="3" fillId="7" borderId="1" xfId="1" applyNumberFormat="1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3" fillId="8" borderId="2" xfId="0" applyFont="1" applyFill="1" applyBorder="1"/>
    <xf numFmtId="0" fontId="3" fillId="8" borderId="6" xfId="0" applyFont="1" applyFill="1" applyBorder="1"/>
    <xf numFmtId="1" fontId="3" fillId="7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0" fontId="7" fillId="8" borderId="1" xfId="0" applyFont="1" applyFill="1" applyBorder="1"/>
    <xf numFmtId="1" fontId="3" fillId="7" borderId="2" xfId="0" applyNumberFormat="1" applyFont="1" applyFill="1" applyBorder="1" applyAlignment="1">
      <alignment horizontal="center"/>
    </xf>
    <xf numFmtId="1" fontId="3" fillId="7" borderId="6" xfId="0" applyNumberFormat="1" applyFont="1" applyFill="1" applyBorder="1" applyAlignment="1">
      <alignment horizontal="center"/>
    </xf>
    <xf numFmtId="0" fontId="3" fillId="6" borderId="1" xfId="0" applyFont="1" applyFill="1" applyBorder="1"/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/>
    <xf numFmtId="0" fontId="0" fillId="8" borderId="6" xfId="0" applyFill="1" applyBorder="1"/>
    <xf numFmtId="1" fontId="3" fillId="6" borderId="5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166" fontId="3" fillId="7" borderId="1" xfId="1" applyNumberFormat="1" applyFont="1" applyFill="1" applyBorder="1"/>
    <xf numFmtId="166" fontId="0" fillId="0" borderId="1" xfId="0" applyNumberFormat="1" applyBorder="1"/>
    <xf numFmtId="0" fontId="0" fillId="5" borderId="1" xfId="0" applyFill="1" applyBorder="1"/>
    <xf numFmtId="165" fontId="0" fillId="5" borderId="1" xfId="0" applyNumberFormat="1" applyFill="1" applyBorder="1"/>
    <xf numFmtId="0" fontId="0" fillId="5" borderId="6" xfId="0" applyFill="1" applyBorder="1"/>
    <xf numFmtId="166" fontId="0" fillId="5" borderId="6" xfId="0" applyNumberFormat="1" applyFill="1" applyBorder="1"/>
    <xf numFmtId="165" fontId="0" fillId="0" borderId="1" xfId="0" applyNumberFormat="1" applyBorder="1"/>
    <xf numFmtId="166" fontId="0" fillId="5" borderId="1" xfId="0" applyNumberFormat="1" applyFill="1" applyBorder="1"/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12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165" fontId="1" fillId="5" borderId="11" xfId="0" applyNumberFormat="1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166" fontId="1" fillId="5" borderId="5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3" fillId="7" borderId="6" xfId="0" applyNumberFormat="1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9672-C099-42BD-B75F-F43D30C79AB9}">
  <dimension ref="A1:U28"/>
  <sheetViews>
    <sheetView tabSelected="1" topLeftCell="A4" zoomScale="55" zoomScaleNormal="55" workbookViewId="0">
      <selection activeCell="A12" sqref="A12:N13"/>
    </sheetView>
  </sheetViews>
  <sheetFormatPr defaultRowHeight="14.5" x14ac:dyDescent="0.35"/>
  <cols>
    <col min="2" max="2" width="10.90625" customWidth="1"/>
    <col min="3" max="3" width="11.6328125" bestFit="1" customWidth="1"/>
    <col min="4" max="4" width="11.08984375" bestFit="1" customWidth="1"/>
    <col min="5" max="5" width="11.08984375" customWidth="1"/>
    <col min="6" max="6" width="27.54296875" bestFit="1" customWidth="1"/>
    <col min="7" max="7" width="10" bestFit="1" customWidth="1"/>
    <col min="8" max="8" width="8.08984375" customWidth="1"/>
    <col min="16" max="16" width="11.1796875" bestFit="1" customWidth="1"/>
    <col min="17" max="17" width="12.54296875" customWidth="1"/>
    <col min="18" max="18" width="10.54296875" customWidth="1"/>
    <col min="20" max="20" width="17.26953125" customWidth="1"/>
    <col min="21" max="21" width="12.7265625" customWidth="1"/>
  </cols>
  <sheetData>
    <row r="1" spans="1:21" ht="14.4" customHeight="1" x14ac:dyDescent="0.35">
      <c r="A1" s="65" t="s">
        <v>41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</row>
    <row r="2" spans="1:21" ht="14.4" customHeight="1" x14ac:dyDescent="0.35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70"/>
    </row>
    <row r="3" spans="1:21" x14ac:dyDescent="0.35">
      <c r="A3" s="41" t="s">
        <v>14</v>
      </c>
      <c r="B3" s="47" t="s">
        <v>7</v>
      </c>
      <c r="C3" s="15" t="s">
        <v>8</v>
      </c>
      <c r="D3" s="23" t="s">
        <v>9</v>
      </c>
      <c r="E3" s="41" t="s">
        <v>10</v>
      </c>
      <c r="F3" s="50" t="s">
        <v>23</v>
      </c>
      <c r="G3" s="21" t="s">
        <v>39</v>
      </c>
      <c r="H3" s="35" t="s">
        <v>0</v>
      </c>
      <c r="I3" s="36"/>
      <c r="J3" s="36"/>
      <c r="K3" s="36"/>
      <c r="L3" s="36"/>
      <c r="M3" s="36"/>
      <c r="N3" s="37"/>
      <c r="O3" s="44" t="s">
        <v>1</v>
      </c>
      <c r="P3" s="44" t="s">
        <v>12</v>
      </c>
      <c r="Q3" s="44" t="s">
        <v>16</v>
      </c>
      <c r="R3" s="44" t="s">
        <v>11</v>
      </c>
      <c r="S3" s="41" t="s">
        <v>15</v>
      </c>
      <c r="T3" s="41" t="s">
        <v>19</v>
      </c>
      <c r="U3" s="34"/>
    </row>
    <row r="4" spans="1:21" x14ac:dyDescent="0.35">
      <c r="A4" s="42"/>
      <c r="B4" s="48"/>
      <c r="C4" s="16" t="s">
        <v>13</v>
      </c>
      <c r="D4" s="24" t="s">
        <v>30</v>
      </c>
      <c r="E4" s="42"/>
      <c r="F4" s="51"/>
      <c r="G4" s="20" t="s">
        <v>26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28</v>
      </c>
      <c r="N4" s="1" t="s">
        <v>29</v>
      </c>
      <c r="O4" s="45"/>
      <c r="P4" s="45"/>
      <c r="Q4" s="45"/>
      <c r="R4" s="45"/>
      <c r="S4" s="42"/>
      <c r="T4" s="42"/>
      <c r="U4" s="34"/>
    </row>
    <row r="5" spans="1:21" x14ac:dyDescent="0.35">
      <c r="A5" s="43"/>
      <c r="B5" s="49"/>
      <c r="C5" s="17"/>
      <c r="D5" s="22" t="s">
        <v>31</v>
      </c>
      <c r="E5" s="43"/>
      <c r="F5" s="52"/>
      <c r="G5" s="19" t="s">
        <v>27</v>
      </c>
      <c r="H5" s="14">
        <v>16</v>
      </c>
      <c r="I5" s="14">
        <v>18</v>
      </c>
      <c r="J5" s="14">
        <v>20</v>
      </c>
      <c r="K5" s="14">
        <v>22</v>
      </c>
      <c r="L5" s="14">
        <v>24</v>
      </c>
      <c r="M5" s="14">
        <v>26</v>
      </c>
      <c r="N5" s="14">
        <v>28</v>
      </c>
      <c r="O5" s="46"/>
      <c r="P5" s="46"/>
      <c r="Q5" s="46"/>
      <c r="R5" s="46"/>
      <c r="S5" s="43"/>
      <c r="T5" s="43"/>
    </row>
    <row r="6" spans="1:21" x14ac:dyDescent="0.35">
      <c r="A6" s="3">
        <v>12</v>
      </c>
      <c r="B6" s="5"/>
      <c r="C6" s="5"/>
      <c r="D6" s="18"/>
      <c r="E6" s="18"/>
      <c r="F6" s="75" t="s">
        <v>42</v>
      </c>
      <c r="G6" s="12"/>
      <c r="H6" s="7"/>
      <c r="I6" s="6"/>
      <c r="J6" s="6"/>
      <c r="K6" s="6"/>
      <c r="L6" s="6"/>
      <c r="M6" s="6"/>
      <c r="N6" s="6"/>
      <c r="O6" s="2">
        <f t="shared" ref="O6:O10" si="0">SUM(H6:N6)</f>
        <v>0</v>
      </c>
      <c r="P6" s="26">
        <v>105000</v>
      </c>
      <c r="Q6" s="26"/>
      <c r="R6" s="26"/>
      <c r="S6" s="3">
        <f t="shared" ref="S6:S9" si="1">O6-A6</f>
        <v>-12</v>
      </c>
      <c r="T6" s="27">
        <f t="shared" ref="T6:T11" si="2">P6*A6</f>
        <v>1260000</v>
      </c>
    </row>
    <row r="7" spans="1:21" x14ac:dyDescent="0.35">
      <c r="A7" s="3">
        <v>24</v>
      </c>
      <c r="B7" s="5"/>
      <c r="C7" s="5"/>
      <c r="D7" s="18"/>
      <c r="E7" s="5"/>
      <c r="F7" s="76" t="s">
        <v>43</v>
      </c>
      <c r="G7" s="9"/>
      <c r="H7" s="6"/>
      <c r="I7" s="6"/>
      <c r="J7" s="6"/>
      <c r="K7" s="6"/>
      <c r="L7" s="6"/>
      <c r="M7" s="6"/>
      <c r="N7" s="7"/>
      <c r="O7" s="2">
        <f t="shared" si="0"/>
        <v>0</v>
      </c>
      <c r="P7" s="26">
        <v>105000</v>
      </c>
      <c r="Q7" s="26"/>
      <c r="R7" s="26"/>
      <c r="S7" s="3">
        <f t="shared" si="1"/>
        <v>-24</v>
      </c>
      <c r="T7" s="27">
        <f t="shared" si="2"/>
        <v>2520000</v>
      </c>
    </row>
    <row r="8" spans="1:21" x14ac:dyDescent="0.35">
      <c r="A8" s="3">
        <v>24</v>
      </c>
      <c r="B8" s="5"/>
      <c r="C8" s="5"/>
      <c r="D8" s="18"/>
      <c r="E8" s="5"/>
      <c r="F8" s="76" t="s">
        <v>44</v>
      </c>
      <c r="G8" s="9"/>
      <c r="H8" s="6"/>
      <c r="I8" s="6"/>
      <c r="J8" s="6"/>
      <c r="K8" s="6"/>
      <c r="L8" s="6"/>
      <c r="M8" s="6"/>
      <c r="N8" s="6"/>
      <c r="O8" s="2">
        <f t="shared" si="0"/>
        <v>0</v>
      </c>
      <c r="P8" s="26">
        <v>105000</v>
      </c>
      <c r="Q8" s="26"/>
      <c r="R8" s="26"/>
      <c r="S8" s="3">
        <f t="shared" si="1"/>
        <v>-24</v>
      </c>
      <c r="T8" s="27">
        <f t="shared" si="2"/>
        <v>2520000</v>
      </c>
    </row>
    <row r="9" spans="1:21" x14ac:dyDescent="0.35">
      <c r="A9" s="3">
        <v>24</v>
      </c>
      <c r="B9" s="5"/>
      <c r="C9" s="5"/>
      <c r="D9" s="18"/>
      <c r="E9" s="5"/>
      <c r="F9" s="76" t="s">
        <v>45</v>
      </c>
      <c r="G9" s="13"/>
      <c r="H9" s="8"/>
      <c r="I9" s="8"/>
      <c r="J9" s="8"/>
      <c r="K9" s="8"/>
      <c r="L9" s="8"/>
      <c r="M9" s="8"/>
      <c r="N9" s="8"/>
      <c r="O9" s="2">
        <f t="shared" si="0"/>
        <v>0</v>
      </c>
      <c r="P9" s="26">
        <v>105000</v>
      </c>
      <c r="Q9" s="26"/>
      <c r="R9" s="26"/>
      <c r="S9" s="3">
        <f t="shared" si="1"/>
        <v>-24</v>
      </c>
      <c r="T9" s="27">
        <f t="shared" si="2"/>
        <v>2520000</v>
      </c>
    </row>
    <row r="10" spans="1:21" x14ac:dyDescent="0.35">
      <c r="A10" s="3">
        <v>12</v>
      </c>
      <c r="B10" s="5"/>
      <c r="C10" s="5"/>
      <c r="D10" s="18"/>
      <c r="E10" s="5"/>
      <c r="F10" s="76" t="s">
        <v>46</v>
      </c>
      <c r="G10" s="9"/>
      <c r="H10" s="6"/>
      <c r="I10" s="6"/>
      <c r="J10" s="6"/>
      <c r="K10" s="6"/>
      <c r="L10" s="6"/>
      <c r="M10" s="6"/>
      <c r="N10" s="6"/>
      <c r="O10" s="2">
        <f t="shared" si="0"/>
        <v>0</v>
      </c>
      <c r="P10" s="26">
        <v>105000</v>
      </c>
      <c r="Q10" s="26"/>
      <c r="R10" s="26"/>
      <c r="S10" s="3">
        <f>O10-A10</f>
        <v>-12</v>
      </c>
      <c r="T10" s="27">
        <f t="shared" si="2"/>
        <v>1260000</v>
      </c>
    </row>
    <row r="11" spans="1:21" x14ac:dyDescent="0.35">
      <c r="A11" s="3">
        <v>24</v>
      </c>
      <c r="B11" s="5"/>
      <c r="C11" s="5"/>
      <c r="D11" s="18"/>
      <c r="E11" s="5"/>
      <c r="F11" s="76" t="s">
        <v>47</v>
      </c>
      <c r="G11" s="12"/>
      <c r="H11" s="6"/>
      <c r="I11" s="6"/>
      <c r="J11" s="6"/>
      <c r="K11" s="6"/>
      <c r="L11" s="6"/>
      <c r="M11" s="6"/>
      <c r="N11" s="6"/>
      <c r="O11" s="2">
        <f t="shared" ref="O11" si="3">SUM(H11:N11)</f>
        <v>0</v>
      </c>
      <c r="P11" s="26">
        <v>62500</v>
      </c>
      <c r="Q11" s="26"/>
      <c r="R11" s="26"/>
      <c r="S11" s="3">
        <f t="shared" ref="S11" si="4">O11-A11</f>
        <v>-24</v>
      </c>
      <c r="T11" s="27">
        <f t="shared" si="2"/>
        <v>1500000</v>
      </c>
    </row>
    <row r="12" spans="1:21" x14ac:dyDescent="0.35">
      <c r="A12" s="53" t="s">
        <v>36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59" t="s">
        <v>37</v>
      </c>
      <c r="P12" s="60"/>
      <c r="Q12" s="60"/>
      <c r="R12" s="61"/>
      <c r="S12" s="28" t="s">
        <v>38</v>
      </c>
      <c r="T12" s="29" t="s">
        <v>12</v>
      </c>
    </row>
    <row r="13" spans="1:21" x14ac:dyDescent="0.35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  <c r="O13" s="62">
        <f>SUM(O6:O11)</f>
        <v>0</v>
      </c>
      <c r="P13" s="63"/>
      <c r="Q13" s="63"/>
      <c r="R13" s="64"/>
      <c r="S13" s="30">
        <f>SUM(S6:S11)</f>
        <v>-120</v>
      </c>
      <c r="T13" s="31">
        <f>SUM(T6:T11)</f>
        <v>11580000</v>
      </c>
    </row>
    <row r="15" spans="1:21" x14ac:dyDescent="0.35">
      <c r="A15" s="40" t="s">
        <v>17</v>
      </c>
      <c r="B15" s="40"/>
    </row>
    <row r="16" spans="1:21" x14ac:dyDescent="0.35">
      <c r="A16" s="38" t="s">
        <v>18</v>
      </c>
      <c r="B16" s="39"/>
    </row>
    <row r="20" spans="1:20" ht="14.5" customHeight="1" x14ac:dyDescent="0.35">
      <c r="A20" s="73" t="s">
        <v>40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 ht="14.5" customHeight="1" x14ac:dyDescent="0.35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 x14ac:dyDescent="0.35">
      <c r="A22" s="41" t="s">
        <v>14</v>
      </c>
      <c r="B22" s="47" t="s">
        <v>7</v>
      </c>
      <c r="C22" s="15" t="s">
        <v>8</v>
      </c>
      <c r="D22" s="23" t="s">
        <v>9</v>
      </c>
      <c r="E22" s="41" t="s">
        <v>10</v>
      </c>
      <c r="F22" s="50" t="s">
        <v>23</v>
      </c>
      <c r="G22" s="21" t="s">
        <v>39</v>
      </c>
      <c r="H22" s="35" t="s">
        <v>0</v>
      </c>
      <c r="I22" s="36"/>
      <c r="J22" s="36"/>
      <c r="K22" s="36"/>
      <c r="L22" s="36"/>
      <c r="M22" s="36"/>
      <c r="N22" s="37"/>
      <c r="O22" s="44" t="s">
        <v>1</v>
      </c>
      <c r="P22" s="44" t="s">
        <v>12</v>
      </c>
      <c r="Q22" s="44" t="s">
        <v>16</v>
      </c>
      <c r="R22" s="44" t="s">
        <v>11</v>
      </c>
      <c r="S22" s="41" t="s">
        <v>15</v>
      </c>
      <c r="T22" s="41" t="s">
        <v>19</v>
      </c>
    </row>
    <row r="23" spans="1:20" x14ac:dyDescent="0.35">
      <c r="A23" s="42"/>
      <c r="B23" s="48"/>
      <c r="C23" s="16" t="s">
        <v>13</v>
      </c>
      <c r="D23" s="24" t="s">
        <v>30</v>
      </c>
      <c r="E23" s="42"/>
      <c r="F23" s="51"/>
      <c r="G23" s="20" t="s">
        <v>26</v>
      </c>
      <c r="H23" s="1" t="s">
        <v>2</v>
      </c>
      <c r="I23" s="1" t="s">
        <v>3</v>
      </c>
      <c r="J23" s="1" t="s">
        <v>4</v>
      </c>
      <c r="K23" s="1" t="s">
        <v>5</v>
      </c>
      <c r="L23" s="1" t="s">
        <v>6</v>
      </c>
      <c r="M23" s="1" t="s">
        <v>28</v>
      </c>
      <c r="N23" s="1" t="s">
        <v>29</v>
      </c>
      <c r="O23" s="45"/>
      <c r="P23" s="45"/>
      <c r="Q23" s="45"/>
      <c r="R23" s="45"/>
      <c r="S23" s="42"/>
      <c r="T23" s="42"/>
    </row>
    <row r="24" spans="1:20" x14ac:dyDescent="0.35">
      <c r="A24" s="43"/>
      <c r="B24" s="49"/>
      <c r="C24" s="17"/>
      <c r="D24" s="22" t="s">
        <v>31</v>
      </c>
      <c r="E24" s="43"/>
      <c r="F24" s="52"/>
      <c r="G24" s="19" t="s">
        <v>27</v>
      </c>
      <c r="H24" s="14">
        <v>16</v>
      </c>
      <c r="I24" s="14">
        <v>18</v>
      </c>
      <c r="J24" s="14">
        <v>20</v>
      </c>
      <c r="K24" s="14">
        <v>22</v>
      </c>
      <c r="L24" s="14">
        <v>24</v>
      </c>
      <c r="M24" s="14">
        <v>26</v>
      </c>
      <c r="N24" s="14">
        <v>28</v>
      </c>
      <c r="O24" s="46"/>
      <c r="P24" s="46"/>
      <c r="Q24" s="46"/>
      <c r="R24" s="46"/>
      <c r="S24" s="43"/>
      <c r="T24" s="43"/>
    </row>
    <row r="25" spans="1:20" x14ac:dyDescent="0.35">
      <c r="A25" s="3">
        <v>12</v>
      </c>
      <c r="B25" s="10" t="s">
        <v>22</v>
      </c>
      <c r="C25" s="10" t="s">
        <v>24</v>
      </c>
      <c r="D25" s="10" t="s">
        <v>25</v>
      </c>
      <c r="E25" s="10" t="s">
        <v>20</v>
      </c>
      <c r="F25" s="25" t="s">
        <v>21</v>
      </c>
      <c r="G25" s="25" t="s">
        <v>26</v>
      </c>
      <c r="H25" s="11">
        <v>3</v>
      </c>
      <c r="I25" s="11">
        <v>4</v>
      </c>
      <c r="J25" s="11">
        <v>3</v>
      </c>
      <c r="K25" s="11">
        <v>2</v>
      </c>
      <c r="L25" s="11"/>
      <c r="M25" s="11"/>
      <c r="N25" s="11"/>
      <c r="O25" s="2">
        <f t="shared" ref="O25:O26" si="5">SUM(H25:N25)</f>
        <v>12</v>
      </c>
      <c r="P25" s="4">
        <v>50000</v>
      </c>
      <c r="Q25" s="4">
        <v>100000</v>
      </c>
      <c r="R25" s="4">
        <v>100000</v>
      </c>
      <c r="S25" s="3">
        <f t="shared" ref="S25:S26" si="6">O25-A25</f>
        <v>0</v>
      </c>
      <c r="T25" s="32">
        <f t="shared" ref="T25:T26" si="7">P25*A25</f>
        <v>600000</v>
      </c>
    </row>
    <row r="26" spans="1:20" x14ac:dyDescent="0.35">
      <c r="A26" s="3">
        <v>12</v>
      </c>
      <c r="B26" s="10" t="s">
        <v>22</v>
      </c>
      <c r="C26" s="10" t="s">
        <v>32</v>
      </c>
      <c r="D26" s="10" t="s">
        <v>33</v>
      </c>
      <c r="E26" s="10" t="s">
        <v>34</v>
      </c>
      <c r="F26" s="25" t="s">
        <v>35</v>
      </c>
      <c r="G26" s="25" t="s">
        <v>27</v>
      </c>
      <c r="H26" s="11">
        <v>1</v>
      </c>
      <c r="I26" s="11">
        <v>1</v>
      </c>
      <c r="J26" s="11">
        <v>1</v>
      </c>
      <c r="K26" s="11">
        <v>1</v>
      </c>
      <c r="L26" s="11">
        <v>2</v>
      </c>
      <c r="M26" s="11">
        <v>2</v>
      </c>
      <c r="N26" s="11">
        <v>4</v>
      </c>
      <c r="O26" s="2">
        <f t="shared" si="5"/>
        <v>12</v>
      </c>
      <c r="P26" s="4">
        <v>50000</v>
      </c>
      <c r="Q26" s="4">
        <v>100000</v>
      </c>
      <c r="R26" s="4">
        <v>100000</v>
      </c>
      <c r="S26" s="3">
        <f t="shared" si="6"/>
        <v>0</v>
      </c>
      <c r="T26" s="32">
        <f t="shared" si="7"/>
        <v>600000</v>
      </c>
    </row>
    <row r="27" spans="1:20" x14ac:dyDescent="0.35">
      <c r="A27" s="74" t="s">
        <v>36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1" t="s">
        <v>37</v>
      </c>
      <c r="P27" s="71"/>
      <c r="Q27" s="71"/>
      <c r="R27" s="71"/>
      <c r="S27" s="28" t="s">
        <v>38</v>
      </c>
      <c r="T27" s="29" t="s">
        <v>12</v>
      </c>
    </row>
    <row r="28" spans="1:20" x14ac:dyDescent="0.3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2">
        <f>SUM(O18:O26)</f>
        <v>24</v>
      </c>
      <c r="P28" s="72"/>
      <c r="Q28" s="72"/>
      <c r="R28" s="72"/>
      <c r="S28" s="28">
        <f>SUM(S18:S26)</f>
        <v>0</v>
      </c>
      <c r="T28" s="33">
        <f>SUM(T18:T26)</f>
        <v>1200000</v>
      </c>
    </row>
  </sheetData>
  <mergeCells count="33">
    <mergeCell ref="O28:R28"/>
    <mergeCell ref="A20:T21"/>
    <mergeCell ref="A27:N28"/>
    <mergeCell ref="P22:P24"/>
    <mergeCell ref="Q22:Q24"/>
    <mergeCell ref="R22:R24"/>
    <mergeCell ref="S22:S24"/>
    <mergeCell ref="T22:T24"/>
    <mergeCell ref="A22:A24"/>
    <mergeCell ref="B22:B24"/>
    <mergeCell ref="E22:E24"/>
    <mergeCell ref="F22:F24"/>
    <mergeCell ref="R3:R5"/>
    <mergeCell ref="O12:R12"/>
    <mergeCell ref="O13:R13"/>
    <mergeCell ref="A1:T2"/>
    <mergeCell ref="O27:R27"/>
    <mergeCell ref="U3:U4"/>
    <mergeCell ref="H22:N22"/>
    <mergeCell ref="A16:B16"/>
    <mergeCell ref="A15:B15"/>
    <mergeCell ref="S3:S5"/>
    <mergeCell ref="O22:O24"/>
    <mergeCell ref="T3:T5"/>
    <mergeCell ref="A3:A5"/>
    <mergeCell ref="B3:B5"/>
    <mergeCell ref="F3:F5"/>
    <mergeCell ref="E3:E5"/>
    <mergeCell ref="H3:N3"/>
    <mergeCell ref="A12:N13"/>
    <mergeCell ref="O3:O5"/>
    <mergeCell ref="P3:P5"/>
    <mergeCell ref="Q3:Q5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2025-03-06T10:09:57Z</cp:lastPrinted>
  <dcterms:created xsi:type="dcterms:W3CDTF">2025-02-16T03:16:57Z</dcterms:created>
  <dcterms:modified xsi:type="dcterms:W3CDTF">2025-10-31T06:33:35Z</dcterms:modified>
</cp:coreProperties>
</file>