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Purchasing &amp; Promotion\PURCHASING NEW\USER\DHIKA\REKAP TANAH ABANG\"/>
    </mc:Choice>
  </mc:AlternateContent>
  <xr:revisionPtr revIDLastSave="0" documentId="8_{5D2B225D-86AF-4A5E-A923-7B25A6E1901A}" xr6:coauthVersionLast="47" xr6:coauthVersionMax="47" xr10:uidLastSave="{00000000-0000-0000-0000-000000000000}"/>
  <bookViews>
    <workbookView xWindow="-110" yWindow="-110" windowWidth="19420" windowHeight="10300" xr2:uid="{7D7B352B-B2C3-4F12-A223-D217CDE45511}"/>
  </bookViews>
  <sheets>
    <sheet name="Sheet1" sheetId="1" r:id="rId1"/>
  </sheets>
  <definedNames>
    <definedName name="_xlnm.Print_Area" localSheetId="0">Sheet1!$A$1:$U$24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1" l="1"/>
  <c r="U20" i="1" s="1"/>
  <c r="V20" i="1"/>
  <c r="Q14" i="1"/>
  <c r="U14" i="1" s="1"/>
  <c r="V14" i="1"/>
  <c r="Q15" i="1"/>
  <c r="U15" i="1" s="1"/>
  <c r="V15" i="1"/>
  <c r="Q16" i="1"/>
  <c r="U16" i="1" s="1"/>
  <c r="V16" i="1"/>
  <c r="Q17" i="1"/>
  <c r="U17" i="1" s="1"/>
  <c r="V17" i="1"/>
  <c r="Q18" i="1"/>
  <c r="U18" i="1" s="1"/>
  <c r="V18" i="1"/>
  <c r="Q19" i="1"/>
  <c r="U19" i="1" s="1"/>
  <c r="V19" i="1"/>
  <c r="V21" i="1"/>
  <c r="Q21" i="1"/>
  <c r="U21" i="1" s="1"/>
  <c r="V37" i="1"/>
  <c r="Q37" i="1"/>
  <c r="U37" i="1" s="1"/>
  <c r="V36" i="1"/>
  <c r="Q36" i="1"/>
  <c r="U36" i="1" s="1"/>
  <c r="V22" i="1"/>
  <c r="V13" i="1"/>
  <c r="V12" i="1"/>
  <c r="V11" i="1"/>
  <c r="V10" i="1"/>
  <c r="V9" i="1"/>
  <c r="V8" i="1"/>
  <c r="V7" i="1"/>
  <c r="V6" i="1"/>
  <c r="Q10" i="1"/>
  <c r="U10" i="1" s="1"/>
  <c r="Q9" i="1"/>
  <c r="U9" i="1" s="1"/>
  <c r="Q8" i="1"/>
  <c r="U8" i="1" s="1"/>
  <c r="Q7" i="1"/>
  <c r="Q6" i="1"/>
  <c r="Q11" i="1"/>
  <c r="U11" i="1" s="1"/>
  <c r="Q12" i="1"/>
  <c r="U12" i="1" s="1"/>
  <c r="Q13" i="1"/>
  <c r="U13" i="1" s="1"/>
  <c r="Q22" i="1"/>
  <c r="U22" i="1" s="1"/>
  <c r="U39" i="1" l="1"/>
  <c r="V39" i="1"/>
  <c r="Q39" i="1"/>
  <c r="V24" i="1"/>
  <c r="Q24" i="1"/>
  <c r="U7" i="1"/>
  <c r="U6" i="1"/>
  <c r="U24" i="1" l="1"/>
</calcChain>
</file>

<file path=xl/sharedStrings.xml><?xml version="1.0" encoding="utf-8"?>
<sst xmlns="http://schemas.openxmlformats.org/spreadsheetml/2006/main" count="93" uniqueCount="51">
  <si>
    <t>SIZE</t>
  </si>
  <si>
    <t>total</t>
  </si>
  <si>
    <t>S</t>
  </si>
  <si>
    <t>M</t>
  </si>
  <si>
    <t>L</t>
  </si>
  <si>
    <t>XL</t>
  </si>
  <si>
    <t>2XL</t>
  </si>
  <si>
    <t>BRAND</t>
  </si>
  <si>
    <t>KODE</t>
  </si>
  <si>
    <t>BAHAN</t>
  </si>
  <si>
    <t>WARNA</t>
  </si>
  <si>
    <t>JUAL</t>
  </si>
  <si>
    <t>COGS</t>
  </si>
  <si>
    <t>ARTIKEL</t>
  </si>
  <si>
    <t>ORDER</t>
  </si>
  <si>
    <t>SELISIH</t>
  </si>
  <si>
    <t>BANDROL</t>
  </si>
  <si>
    <t>PURCHASING</t>
  </si>
  <si>
    <t>LOGISTIK</t>
  </si>
  <si>
    <t>Total Cogs</t>
  </si>
  <si>
    <t>WHITE</t>
  </si>
  <si>
    <t>TRAINNIG ADIDAS PUTIH 1LS</t>
  </si>
  <si>
    <t>KW ADIDAS</t>
  </si>
  <si>
    <t>KODE ITEM/ NAMA ORDER</t>
  </si>
  <si>
    <t>CTADI</t>
  </si>
  <si>
    <t>PO</t>
  </si>
  <si>
    <t>A</t>
  </si>
  <si>
    <t>B</t>
  </si>
  <si>
    <t>3XL</t>
  </si>
  <si>
    <t>4XL</t>
  </si>
  <si>
    <t>KHUSUS</t>
  </si>
  <si>
    <t>CELANA</t>
  </si>
  <si>
    <t>JK25MUNH</t>
  </si>
  <si>
    <t>HOME</t>
  </si>
  <si>
    <t>RED</t>
  </si>
  <si>
    <t>25 MANCHESTER UNITED</t>
  </si>
  <si>
    <t>TOTAL</t>
  </si>
  <si>
    <t>QTY</t>
  </si>
  <si>
    <t>DISPUTE</t>
  </si>
  <si>
    <t>KATEGORI</t>
  </si>
  <si>
    <t>CONTOH PENGISIAN REKAP PEMBELIAN</t>
  </si>
  <si>
    <t>5XL</t>
  </si>
  <si>
    <t>6XL</t>
  </si>
  <si>
    <t>BLACK</t>
  </si>
  <si>
    <t>KW NIKE</t>
  </si>
  <si>
    <t>JG904</t>
  </si>
  <si>
    <t>JG913</t>
  </si>
  <si>
    <t>JG908</t>
  </si>
  <si>
    <t>JHBNIK99</t>
  </si>
  <si>
    <t>JHBADI</t>
  </si>
  <si>
    <t>REKAP PEMBELIAN WEMBLEY SIDOARJO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</si>
</sst>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/mmm;@"/>
    <numFmt numFmtId="165" formatCode="_(* #,##0_);_(* \(#,##0\);_(* &quot;-&quot;??_);_(@_)"/>
    <numFmt numFmtId="166" formatCode="_-[$Rp-421]* #,##0_-;\-[$Rp-421]* #,##0_-;_-[$Rp-421]* &quot;-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7" borderId="1" xfId="0" applyFill="1" applyBorder="1"/>
    <xf numFmtId="165" fontId="3" fillId="7" borderId="1" xfId="1" applyNumberFormat="1" applyFont="1" applyFill="1" applyBorder="1"/>
    <xf numFmtId="0" fontId="0" fillId="8" borderId="1" xfId="0" applyFill="1" applyBorder="1"/>
    <xf numFmtId="0" fontId="3" fillId="8" borderId="1" xfId="0" applyFont="1" applyFill="1" applyBorder="1"/>
    <xf numFmtId="0" fontId="3" fillId="8" borderId="2" xfId="0" applyFont="1" applyFill="1" applyBorder="1"/>
    <xf numFmtId="0" fontId="3" fillId="8" borderId="6" xfId="0" applyFont="1" applyFill="1" applyBorder="1"/>
    <xf numFmtId="1" fontId="3" fillId="7" borderId="1" xfId="0" applyNumberFormat="1" applyFont="1" applyFill="1" applyBorder="1" applyAlignment="1">
      <alignment horizontal="center"/>
    </xf>
    <xf numFmtId="0" fontId="6" fillId="8" borderId="1" xfId="0" applyFont="1" applyFill="1" applyBorder="1"/>
    <xf numFmtId="0" fontId="7" fillId="8" borderId="1" xfId="0" applyFont="1" applyFill="1" applyBorder="1"/>
    <xf numFmtId="1" fontId="3" fillId="7" borderId="2" xfId="0" applyNumberFormat="1" applyFont="1" applyFill="1" applyBorder="1" applyAlignment="1">
      <alignment horizontal="center"/>
    </xf>
    <xf numFmtId="1" fontId="3" fillId="7" borderId="6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0" fillId="6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3" xfId="0" applyFill="1" applyBorder="1"/>
    <xf numFmtId="0" fontId="0" fillId="8" borderId="6" xfId="0" applyFill="1" applyBorder="1"/>
    <xf numFmtId="1" fontId="3" fillId="6" borderId="5" xfId="0" applyNumberFormat="1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/>
    </xf>
    <xf numFmtId="166" fontId="3" fillId="7" borderId="1" xfId="1" applyNumberFormat="1" applyFont="1" applyFill="1" applyBorder="1"/>
    <xf numFmtId="0" fontId="0" fillId="7" borderId="2" xfId="0" applyFill="1" applyBorder="1"/>
    <xf numFmtId="166" fontId="0" fillId="0" borderId="1" xfId="0" applyNumberFormat="1" applyBorder="1"/>
    <xf numFmtId="0" fontId="0" fillId="5" borderId="1" xfId="0" applyFill="1" applyBorder="1"/>
    <xf numFmtId="165" fontId="0" fillId="5" borderId="1" xfId="0" applyNumberFormat="1" applyFill="1" applyBorder="1"/>
    <xf numFmtId="0" fontId="0" fillId="5" borderId="6" xfId="0" applyFill="1" applyBorder="1"/>
    <xf numFmtId="166" fontId="0" fillId="5" borderId="6" xfId="0" applyNumberFormat="1" applyFill="1" applyBorder="1"/>
    <xf numFmtId="165" fontId="0" fillId="0" borderId="1" xfId="0" applyNumberFormat="1" applyBorder="1"/>
    <xf numFmtId="166" fontId="0" fillId="5" borderId="1" xfId="0" applyNumberFormat="1" applyFill="1" applyBorder="1"/>
    <xf numFmtId="166" fontId="1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3" borderId="12" xfId="0" applyNumberFormat="1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165" fontId="1" fillId="5" borderId="11" xfId="0" applyNumberFormat="1" applyFont="1" applyFill="1" applyBorder="1" applyAlignment="1">
      <alignment horizontal="center" vertical="center"/>
    </xf>
    <xf numFmtId="165" fontId="1" fillId="5" borderId="7" xfId="0" applyNumberFormat="1" applyFont="1" applyFill="1" applyBorder="1" applyAlignment="1">
      <alignment horizontal="center" vertical="center"/>
    </xf>
    <xf numFmtId="165" fontId="1" fillId="5" borderId="8" xfId="0" applyNumberFormat="1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 vertical="center"/>
    </xf>
    <xf numFmtId="166" fontId="1" fillId="5" borderId="4" xfId="0" applyNumberFormat="1" applyFont="1" applyFill="1" applyBorder="1" applyAlignment="1">
      <alignment horizontal="center" vertical="center"/>
    </xf>
    <xf numFmtId="166" fontId="1" fillId="5" borderId="5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0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9672-C099-42BD-B75F-F43D30C79AB9}">
  <dimension ref="A1:W39"/>
  <sheetViews>
    <sheetView tabSelected="1" zoomScale="70" zoomScaleNormal="70" workbookViewId="0">
      <selection activeCell="F8" sqref="F8"/>
    </sheetView>
  </sheetViews>
  <sheetFormatPr defaultRowHeight="14.5" x14ac:dyDescent="0.35"/>
  <cols>
    <col min="2" max="2" width="10.90625" customWidth="1"/>
    <col min="3" max="3" width="11.6328125" bestFit="1" customWidth="1"/>
    <col min="4" max="4" width="11.08984375" bestFit="1" customWidth="1"/>
    <col min="5" max="5" width="11.08984375" customWidth="1"/>
    <col min="6" max="6" width="27.54296875" bestFit="1" customWidth="1"/>
    <col min="7" max="7" width="10" bestFit="1" customWidth="1"/>
    <col min="8" max="8" width="8.08984375" customWidth="1"/>
    <col min="18" max="18" width="12.1796875" bestFit="1" customWidth="1"/>
    <col min="19" max="19" width="12.54296875" customWidth="1"/>
    <col min="20" max="20" width="10.54296875" customWidth="1"/>
    <col min="22" max="22" width="17.1796875" customWidth="1"/>
    <col min="23" max="23" width="12.81640625" customWidth="1"/>
  </cols>
  <sheetData>
    <row r="1" spans="1:23" ht="14.4" customHeight="1" x14ac:dyDescent="0.35">
      <c r="A1" s="56" t="s">
        <v>50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</row>
    <row r="2" spans="1:23" ht="14.4" customHeight="1" x14ac:dyDescent="0.3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</row>
    <row r="3" spans="1:23" x14ac:dyDescent="0.35">
      <c r="A3" s="41" t="s">
        <v>14</v>
      </c>
      <c r="B3" s="44" t="s">
        <v>7</v>
      </c>
      <c r="C3" s="15" t="s">
        <v>8</v>
      </c>
      <c r="D3" s="23" t="s">
        <v>9</v>
      </c>
      <c r="E3" s="41" t="s">
        <v>10</v>
      </c>
      <c r="F3" s="47" t="s">
        <v>23</v>
      </c>
      <c r="G3" s="21" t="s">
        <v>39</v>
      </c>
      <c r="H3" s="64" t="s">
        <v>0</v>
      </c>
      <c r="I3" s="65"/>
      <c r="J3" s="65"/>
      <c r="K3" s="65"/>
      <c r="L3" s="65"/>
      <c r="M3" s="65"/>
      <c r="N3" s="65"/>
      <c r="O3" s="65"/>
      <c r="P3" s="66"/>
      <c r="Q3" s="38" t="s">
        <v>1</v>
      </c>
      <c r="R3" s="38" t="s">
        <v>12</v>
      </c>
      <c r="S3" s="38" t="s">
        <v>16</v>
      </c>
      <c r="T3" s="38" t="s">
        <v>11</v>
      </c>
      <c r="U3" s="41" t="s">
        <v>15</v>
      </c>
      <c r="V3" s="41" t="s">
        <v>19</v>
      </c>
      <c r="W3" s="63"/>
    </row>
    <row r="4" spans="1:23" x14ac:dyDescent="0.35">
      <c r="A4" s="42"/>
      <c r="B4" s="45"/>
      <c r="C4" s="16" t="s">
        <v>13</v>
      </c>
      <c r="D4" s="24" t="s">
        <v>30</v>
      </c>
      <c r="E4" s="42"/>
      <c r="F4" s="48"/>
      <c r="G4" s="20" t="s">
        <v>26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28</v>
      </c>
      <c r="N4" s="1" t="s">
        <v>29</v>
      </c>
      <c r="O4" s="1" t="s">
        <v>41</v>
      </c>
      <c r="P4" s="1" t="s">
        <v>42</v>
      </c>
      <c r="Q4" s="39"/>
      <c r="R4" s="39"/>
      <c r="S4" s="39"/>
      <c r="T4" s="39"/>
      <c r="U4" s="42"/>
      <c r="V4" s="42"/>
      <c r="W4" s="63"/>
    </row>
    <row r="5" spans="1:23" x14ac:dyDescent="0.35">
      <c r="A5" s="43"/>
      <c r="B5" s="46"/>
      <c r="C5" s="17"/>
      <c r="D5" s="22" t="s">
        <v>31</v>
      </c>
      <c r="E5" s="43"/>
      <c r="F5" s="49"/>
      <c r="G5" s="19" t="s">
        <v>27</v>
      </c>
      <c r="H5" s="14">
        <v>16</v>
      </c>
      <c r="I5" s="14">
        <v>18</v>
      </c>
      <c r="J5" s="14">
        <v>20</v>
      </c>
      <c r="K5" s="14">
        <v>22</v>
      </c>
      <c r="L5" s="14">
        <v>24</v>
      </c>
      <c r="M5" s="14">
        <v>26</v>
      </c>
      <c r="N5" s="14">
        <v>28</v>
      </c>
      <c r="O5" s="14"/>
      <c r="P5" s="14"/>
      <c r="Q5" s="40"/>
      <c r="R5" s="40"/>
      <c r="S5" s="40"/>
      <c r="T5" s="40"/>
      <c r="U5" s="43"/>
      <c r="V5" s="43"/>
    </row>
    <row r="6" spans="1:23" x14ac:dyDescent="0.35">
      <c r="A6" s="3">
        <v>12</v>
      </c>
      <c r="B6" s="5" t="s">
        <v>44</v>
      </c>
      <c r="C6" s="5" t="s">
        <v>48</v>
      </c>
      <c r="D6" s="18"/>
      <c r="E6" s="5" t="s">
        <v>43</v>
      </c>
      <c r="F6" s="13" t="s">
        <v>45</v>
      </c>
      <c r="G6" s="12" t="s">
        <v>26</v>
      </c>
      <c r="H6" s="7"/>
      <c r="I6" s="6"/>
      <c r="J6" s="6"/>
      <c r="K6" s="6"/>
      <c r="L6" s="6"/>
      <c r="M6" s="6"/>
      <c r="N6" s="6"/>
      <c r="O6" s="6"/>
      <c r="P6" s="6"/>
      <c r="Q6" s="2">
        <f t="shared" ref="Q6:Q10" si="0">SUM(H6:P6)</f>
        <v>0</v>
      </c>
      <c r="R6" s="26">
        <v>120000</v>
      </c>
      <c r="S6" s="26"/>
      <c r="T6" s="26"/>
      <c r="U6" s="3">
        <f t="shared" ref="U6:U9" si="1">Q6-A6</f>
        <v>-12</v>
      </c>
      <c r="V6" s="28">
        <f t="shared" ref="V6:V22" si="2">R6*A6</f>
        <v>1440000</v>
      </c>
    </row>
    <row r="7" spans="1:23" x14ac:dyDescent="0.35">
      <c r="A7" s="3">
        <v>12</v>
      </c>
      <c r="B7" s="5" t="s">
        <v>22</v>
      </c>
      <c r="C7" s="76" t="s">
        <v>49</v>
      </c>
      <c r="D7" s="18"/>
      <c r="E7" s="5" t="s">
        <v>43</v>
      </c>
      <c r="F7" s="13" t="s">
        <v>46</v>
      </c>
      <c r="G7" s="12" t="s">
        <v>26</v>
      </c>
      <c r="H7" s="6"/>
      <c r="I7" s="6"/>
      <c r="J7" s="6"/>
      <c r="K7" s="6"/>
      <c r="L7" s="6"/>
      <c r="M7" s="6"/>
      <c r="N7" s="7"/>
      <c r="O7" s="7"/>
      <c r="P7" s="7"/>
      <c r="Q7" s="2">
        <f t="shared" si="0"/>
        <v>0</v>
      </c>
      <c r="R7" s="26">
        <v>120000</v>
      </c>
      <c r="S7" s="26"/>
      <c r="T7" s="26"/>
      <c r="U7" s="3">
        <f t="shared" si="1"/>
        <v>-12</v>
      </c>
      <c r="V7" s="28">
        <f t="shared" si="2"/>
        <v>1440000</v>
      </c>
    </row>
    <row r="8" spans="1:23" x14ac:dyDescent="0.35">
      <c r="A8" s="3">
        <v>12</v>
      </c>
      <c r="B8" s="5" t="s">
        <v>22</v>
      </c>
      <c r="C8" s="5" t="s">
        <v>49</v>
      </c>
      <c r="D8" s="18"/>
      <c r="E8" s="5" t="s">
        <v>43</v>
      </c>
      <c r="F8" s="13" t="s">
        <v>47</v>
      </c>
      <c r="G8" s="12" t="s">
        <v>26</v>
      </c>
      <c r="H8" s="6"/>
      <c r="I8" s="6"/>
      <c r="J8" s="6"/>
      <c r="K8" s="6"/>
      <c r="L8" s="6"/>
      <c r="M8" s="6"/>
      <c r="N8" s="6"/>
      <c r="O8" s="6"/>
      <c r="P8" s="6"/>
      <c r="Q8" s="2">
        <f t="shared" si="0"/>
        <v>0</v>
      </c>
      <c r="R8" s="26">
        <v>120000</v>
      </c>
      <c r="S8" s="26"/>
      <c r="T8" s="26"/>
      <c r="U8" s="3">
        <f t="shared" si="1"/>
        <v>-12</v>
      </c>
      <c r="V8" s="28">
        <f t="shared" si="2"/>
        <v>1440000</v>
      </c>
    </row>
    <row r="9" spans="1:23" x14ac:dyDescent="0.35">
      <c r="A9" s="3"/>
      <c r="B9" s="5"/>
      <c r="C9" s="5"/>
      <c r="D9" s="18"/>
      <c r="E9" s="5"/>
      <c r="F9" s="9"/>
      <c r="G9" s="12"/>
      <c r="H9" s="8"/>
      <c r="I9" s="8"/>
      <c r="J9" s="8"/>
      <c r="K9" s="8"/>
      <c r="L9" s="8"/>
      <c r="M9" s="8"/>
      <c r="N9" s="8"/>
      <c r="O9" s="8"/>
      <c r="P9" s="8"/>
      <c r="Q9" s="2">
        <f t="shared" si="0"/>
        <v>0</v>
      </c>
      <c r="R9" s="26"/>
      <c r="S9" s="26"/>
      <c r="T9" s="26"/>
      <c r="U9" s="3">
        <f t="shared" si="1"/>
        <v>0</v>
      </c>
      <c r="V9" s="28">
        <f t="shared" si="2"/>
        <v>0</v>
      </c>
    </row>
    <row r="10" spans="1:23" x14ac:dyDescent="0.35">
      <c r="A10" s="3"/>
      <c r="B10" s="5"/>
      <c r="C10" s="5"/>
      <c r="D10" s="5"/>
      <c r="E10" s="5"/>
      <c r="F10" s="9"/>
      <c r="G10" s="12"/>
      <c r="H10" s="6"/>
      <c r="I10" s="6"/>
      <c r="J10" s="6"/>
      <c r="K10" s="6"/>
      <c r="L10" s="6"/>
      <c r="M10" s="6"/>
      <c r="N10" s="6"/>
      <c r="O10" s="6"/>
      <c r="P10" s="6"/>
      <c r="Q10" s="2">
        <f t="shared" si="0"/>
        <v>0</v>
      </c>
      <c r="R10" s="26"/>
      <c r="S10" s="26"/>
      <c r="T10" s="26"/>
      <c r="U10" s="3">
        <f>Q10-A10</f>
        <v>0</v>
      </c>
      <c r="V10" s="28">
        <f t="shared" si="2"/>
        <v>0</v>
      </c>
    </row>
    <row r="11" spans="1:23" x14ac:dyDescent="0.35">
      <c r="A11" s="3"/>
      <c r="B11" s="5"/>
      <c r="C11" s="5"/>
      <c r="D11" s="18"/>
      <c r="E11" s="5"/>
      <c r="F11" s="9"/>
      <c r="G11" s="12"/>
      <c r="H11" s="6"/>
      <c r="I11" s="6"/>
      <c r="J11" s="6"/>
      <c r="K11" s="6"/>
      <c r="L11" s="6"/>
      <c r="M11" s="6"/>
      <c r="N11" s="6"/>
      <c r="O11" s="6"/>
      <c r="P11" s="6"/>
      <c r="Q11" s="2">
        <f t="shared" ref="Q11:Q22" si="3">SUM(H11:P11)</f>
        <v>0</v>
      </c>
      <c r="R11" s="26"/>
      <c r="S11" s="26"/>
      <c r="T11" s="26"/>
      <c r="U11" s="3">
        <f t="shared" ref="U11:U22" si="4">Q11-A11</f>
        <v>0</v>
      </c>
      <c r="V11" s="28">
        <f t="shared" si="2"/>
        <v>0</v>
      </c>
    </row>
    <row r="12" spans="1:23" x14ac:dyDescent="0.35">
      <c r="A12" s="3"/>
      <c r="B12" s="5"/>
      <c r="C12" s="5"/>
      <c r="D12" s="18"/>
      <c r="E12" s="5"/>
      <c r="F12" s="9"/>
      <c r="G12" s="12"/>
      <c r="H12" s="6"/>
      <c r="I12" s="6"/>
      <c r="J12" s="6"/>
      <c r="K12" s="6"/>
      <c r="L12" s="7"/>
      <c r="M12" s="7"/>
      <c r="N12" s="7"/>
      <c r="O12" s="7"/>
      <c r="P12" s="7"/>
      <c r="Q12" s="2">
        <f t="shared" si="3"/>
        <v>0</v>
      </c>
      <c r="R12" s="26"/>
      <c r="S12" s="26"/>
      <c r="T12" s="26"/>
      <c r="U12" s="3">
        <f t="shared" si="4"/>
        <v>0</v>
      </c>
      <c r="V12" s="28">
        <f t="shared" si="2"/>
        <v>0</v>
      </c>
    </row>
    <row r="13" spans="1:23" x14ac:dyDescent="0.35">
      <c r="A13" s="3"/>
      <c r="B13" s="5"/>
      <c r="C13" s="5"/>
      <c r="D13" s="18"/>
      <c r="E13" s="5"/>
      <c r="F13" s="9"/>
      <c r="G13" s="12"/>
      <c r="H13" s="6"/>
      <c r="I13" s="6"/>
      <c r="J13" s="6"/>
      <c r="K13" s="6"/>
      <c r="L13" s="6"/>
      <c r="M13" s="6"/>
      <c r="N13" s="6"/>
      <c r="O13" s="6"/>
      <c r="P13" s="6"/>
      <c r="Q13" s="2">
        <f t="shared" si="3"/>
        <v>0</v>
      </c>
      <c r="R13" s="26"/>
      <c r="S13" s="26"/>
      <c r="T13" s="26"/>
      <c r="U13" s="3">
        <f t="shared" si="4"/>
        <v>0</v>
      </c>
      <c r="V13" s="28">
        <f t="shared" si="2"/>
        <v>0</v>
      </c>
    </row>
    <row r="14" spans="1:23" x14ac:dyDescent="0.35">
      <c r="A14" s="3"/>
      <c r="B14" s="5"/>
      <c r="C14" s="5"/>
      <c r="D14" s="5"/>
      <c r="E14" s="5"/>
      <c r="F14" s="9"/>
      <c r="G14" s="9"/>
      <c r="H14" s="8"/>
      <c r="I14" s="8"/>
      <c r="J14" s="8"/>
      <c r="K14" s="8"/>
      <c r="L14" s="8"/>
      <c r="M14" s="8"/>
      <c r="N14" s="8"/>
      <c r="O14" s="8"/>
      <c r="P14" s="8"/>
      <c r="Q14" s="2">
        <f t="shared" ref="Q14:Q20" si="5">SUM(H14:P14)</f>
        <v>0</v>
      </c>
      <c r="R14" s="26"/>
      <c r="S14" s="26"/>
      <c r="T14" s="26"/>
      <c r="U14" s="3">
        <f t="shared" ref="U14:U20" si="6">Q14-A14</f>
        <v>0</v>
      </c>
      <c r="V14" s="28">
        <f t="shared" ref="V14:V20" si="7">R14*A14</f>
        <v>0</v>
      </c>
    </row>
    <row r="15" spans="1:23" x14ac:dyDescent="0.35">
      <c r="A15" s="3"/>
      <c r="B15" s="5"/>
      <c r="C15" s="5"/>
      <c r="D15" s="5"/>
      <c r="E15" s="5"/>
      <c r="F15" s="9"/>
      <c r="G15" s="9"/>
      <c r="H15" s="8"/>
      <c r="I15" s="8"/>
      <c r="J15" s="8"/>
      <c r="K15" s="8"/>
      <c r="L15" s="8"/>
      <c r="M15" s="8"/>
      <c r="N15" s="8"/>
      <c r="O15" s="8"/>
      <c r="P15" s="8"/>
      <c r="Q15" s="2">
        <f t="shared" si="5"/>
        <v>0</v>
      </c>
      <c r="R15" s="26"/>
      <c r="S15" s="26"/>
      <c r="T15" s="26"/>
      <c r="U15" s="3">
        <f t="shared" si="6"/>
        <v>0</v>
      </c>
      <c r="V15" s="28">
        <f t="shared" si="7"/>
        <v>0</v>
      </c>
    </row>
    <row r="16" spans="1:23" x14ac:dyDescent="0.35">
      <c r="A16" s="3"/>
      <c r="B16" s="5"/>
      <c r="C16" s="5"/>
      <c r="D16" s="5"/>
      <c r="E16" s="5"/>
      <c r="F16" s="9"/>
      <c r="G16" s="13"/>
      <c r="H16" s="8"/>
      <c r="I16" s="8"/>
      <c r="J16" s="8"/>
      <c r="K16" s="8"/>
      <c r="L16" s="8"/>
      <c r="M16" s="8"/>
      <c r="N16" s="8"/>
      <c r="O16" s="8"/>
      <c r="P16" s="8"/>
      <c r="Q16" s="2">
        <f t="shared" si="5"/>
        <v>0</v>
      </c>
      <c r="R16" s="26"/>
      <c r="S16" s="26"/>
      <c r="T16" s="26"/>
      <c r="U16" s="3">
        <f t="shared" si="6"/>
        <v>0</v>
      </c>
      <c r="V16" s="28">
        <f t="shared" si="7"/>
        <v>0</v>
      </c>
    </row>
    <row r="17" spans="1:22" x14ac:dyDescent="0.35">
      <c r="A17" s="3"/>
      <c r="B17" s="5"/>
      <c r="C17" s="5"/>
      <c r="D17" s="5"/>
      <c r="E17" s="5"/>
      <c r="F17" s="9"/>
      <c r="G17" s="13"/>
      <c r="H17" s="8"/>
      <c r="I17" s="8"/>
      <c r="J17" s="8"/>
      <c r="K17" s="8"/>
      <c r="L17" s="8"/>
      <c r="M17" s="8"/>
      <c r="N17" s="8"/>
      <c r="O17" s="8"/>
      <c r="P17" s="8"/>
      <c r="Q17" s="2">
        <f t="shared" si="5"/>
        <v>0</v>
      </c>
      <c r="R17" s="26"/>
      <c r="S17" s="26"/>
      <c r="T17" s="26"/>
      <c r="U17" s="3">
        <f t="shared" si="6"/>
        <v>0</v>
      </c>
      <c r="V17" s="28">
        <f t="shared" si="7"/>
        <v>0</v>
      </c>
    </row>
    <row r="18" spans="1:22" x14ac:dyDescent="0.35">
      <c r="A18" s="3"/>
      <c r="B18" s="5"/>
      <c r="C18" s="5"/>
      <c r="D18" s="5"/>
      <c r="E18" s="5"/>
      <c r="F18" s="9"/>
      <c r="G18" s="13"/>
      <c r="H18" s="8"/>
      <c r="I18" s="8"/>
      <c r="J18" s="8"/>
      <c r="K18" s="8"/>
      <c r="L18" s="8"/>
      <c r="M18" s="8"/>
      <c r="N18" s="8"/>
      <c r="O18" s="8"/>
      <c r="P18" s="8"/>
      <c r="Q18" s="2">
        <f t="shared" si="5"/>
        <v>0</v>
      </c>
      <c r="R18" s="26"/>
      <c r="S18" s="26"/>
      <c r="T18" s="26"/>
      <c r="U18" s="3">
        <f t="shared" si="6"/>
        <v>0</v>
      </c>
      <c r="V18" s="28">
        <f t="shared" si="7"/>
        <v>0</v>
      </c>
    </row>
    <row r="19" spans="1:22" x14ac:dyDescent="0.35">
      <c r="A19" s="3"/>
      <c r="B19" s="5"/>
      <c r="C19" s="5"/>
      <c r="D19" s="5"/>
      <c r="E19" s="5"/>
      <c r="F19" s="9"/>
      <c r="G19" s="13"/>
      <c r="H19" s="8"/>
      <c r="I19" s="8"/>
      <c r="J19" s="8"/>
      <c r="K19" s="8"/>
      <c r="L19" s="8"/>
      <c r="M19" s="8"/>
      <c r="N19" s="8"/>
      <c r="O19" s="8"/>
      <c r="P19" s="8"/>
      <c r="Q19" s="2">
        <f t="shared" si="5"/>
        <v>0</v>
      </c>
      <c r="R19" s="26"/>
      <c r="S19" s="26"/>
      <c r="T19" s="26"/>
      <c r="U19" s="3">
        <f t="shared" si="6"/>
        <v>0</v>
      </c>
      <c r="V19" s="28">
        <f t="shared" si="7"/>
        <v>0</v>
      </c>
    </row>
    <row r="20" spans="1:22" x14ac:dyDescent="0.35">
      <c r="A20" s="3"/>
      <c r="B20" s="5"/>
      <c r="C20" s="5"/>
      <c r="D20" s="5"/>
      <c r="E20" s="5"/>
      <c r="F20" s="9"/>
      <c r="G20" s="13"/>
      <c r="H20" s="8"/>
      <c r="I20" s="8"/>
      <c r="J20" s="8"/>
      <c r="K20" s="8"/>
      <c r="L20" s="8"/>
      <c r="M20" s="8"/>
      <c r="N20" s="8"/>
      <c r="O20" s="8"/>
      <c r="P20" s="8"/>
      <c r="Q20" s="2">
        <f t="shared" si="5"/>
        <v>0</v>
      </c>
      <c r="R20" s="26"/>
      <c r="S20" s="26"/>
      <c r="T20" s="26"/>
      <c r="U20" s="3">
        <f t="shared" si="6"/>
        <v>0</v>
      </c>
      <c r="V20" s="28">
        <f t="shared" si="7"/>
        <v>0</v>
      </c>
    </row>
    <row r="21" spans="1:22" x14ac:dyDescent="0.35">
      <c r="A21" s="3"/>
      <c r="B21" s="5"/>
      <c r="C21" s="5"/>
      <c r="D21" s="5"/>
      <c r="E21" s="5"/>
      <c r="F21" s="9"/>
      <c r="G21" s="13"/>
      <c r="H21" s="8"/>
      <c r="I21" s="8"/>
      <c r="J21" s="8"/>
      <c r="K21" s="8"/>
      <c r="L21" s="8"/>
      <c r="M21" s="8"/>
      <c r="N21" s="8"/>
      <c r="O21" s="8"/>
      <c r="P21" s="8"/>
      <c r="Q21" s="2">
        <f t="shared" ref="Q21" si="8">SUM(H21:P21)</f>
        <v>0</v>
      </c>
      <c r="R21" s="26"/>
      <c r="S21" s="26"/>
      <c r="T21" s="26"/>
      <c r="U21" s="27">
        <f t="shared" ref="U21" si="9">Q21-A21</f>
        <v>0</v>
      </c>
      <c r="V21" s="28">
        <f t="shared" ref="V21" si="10">R21*A21</f>
        <v>0</v>
      </c>
    </row>
    <row r="22" spans="1:22" x14ac:dyDescent="0.35">
      <c r="A22" s="3"/>
      <c r="B22" s="5"/>
      <c r="C22" s="5"/>
      <c r="D22" s="5"/>
      <c r="E22" s="5"/>
      <c r="F22" s="9"/>
      <c r="G22" s="13"/>
      <c r="H22" s="8"/>
      <c r="I22" s="8"/>
      <c r="J22" s="8"/>
      <c r="K22" s="8"/>
      <c r="L22" s="8"/>
      <c r="M22" s="8"/>
      <c r="N22" s="8"/>
      <c r="O22" s="8"/>
      <c r="P22" s="8"/>
      <c r="Q22" s="2">
        <f t="shared" si="3"/>
        <v>0</v>
      </c>
      <c r="R22" s="26"/>
      <c r="S22" s="26"/>
      <c r="T22" s="26"/>
      <c r="U22" s="27">
        <f t="shared" si="4"/>
        <v>0</v>
      </c>
      <c r="V22" s="28">
        <f t="shared" si="2"/>
        <v>0</v>
      </c>
    </row>
    <row r="23" spans="1:22" x14ac:dyDescent="0.35">
      <c r="A23" s="70" t="s">
        <v>36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2"/>
      <c r="Q23" s="50" t="s">
        <v>37</v>
      </c>
      <c r="R23" s="51"/>
      <c r="S23" s="51"/>
      <c r="T23" s="52"/>
      <c r="U23" s="29" t="s">
        <v>38</v>
      </c>
      <c r="V23" s="30" t="s">
        <v>12</v>
      </c>
    </row>
    <row r="24" spans="1:22" x14ac:dyDescent="0.3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5"/>
      <c r="Q24" s="53">
        <f>SUM(Q6:Q22)</f>
        <v>0</v>
      </c>
      <c r="R24" s="54"/>
      <c r="S24" s="54"/>
      <c r="T24" s="55"/>
      <c r="U24" s="31">
        <f>SUM(U6:U22)</f>
        <v>-36</v>
      </c>
      <c r="V24" s="32">
        <f>SUM(V6:V22)</f>
        <v>4320000</v>
      </c>
    </row>
    <row r="26" spans="1:22" x14ac:dyDescent="0.35">
      <c r="A26" s="69" t="s">
        <v>17</v>
      </c>
      <c r="B26" s="69"/>
    </row>
    <row r="27" spans="1:22" x14ac:dyDescent="0.35">
      <c r="A27" s="67" t="s">
        <v>18</v>
      </c>
      <c r="B27" s="68"/>
    </row>
    <row r="31" spans="1:22" ht="14.5" customHeight="1" x14ac:dyDescent="0.35">
      <c r="A31" s="36" t="s">
        <v>40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 ht="14.5" customHeight="1" x14ac:dyDescent="0.3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 x14ac:dyDescent="0.35">
      <c r="A33" s="41" t="s">
        <v>14</v>
      </c>
      <c r="B33" s="44" t="s">
        <v>7</v>
      </c>
      <c r="C33" s="15" t="s">
        <v>8</v>
      </c>
      <c r="D33" s="23" t="s">
        <v>9</v>
      </c>
      <c r="E33" s="41" t="s">
        <v>10</v>
      </c>
      <c r="F33" s="47" t="s">
        <v>23</v>
      </c>
      <c r="G33" s="21" t="s">
        <v>39</v>
      </c>
      <c r="H33" s="64" t="s">
        <v>0</v>
      </c>
      <c r="I33" s="65"/>
      <c r="J33" s="65"/>
      <c r="K33" s="65"/>
      <c r="L33" s="65"/>
      <c r="M33" s="65"/>
      <c r="N33" s="65"/>
      <c r="O33" s="65"/>
      <c r="P33" s="66"/>
      <c r="Q33" s="38" t="s">
        <v>1</v>
      </c>
      <c r="R33" s="38" t="s">
        <v>12</v>
      </c>
      <c r="S33" s="38" t="s">
        <v>16</v>
      </c>
      <c r="T33" s="38" t="s">
        <v>11</v>
      </c>
      <c r="U33" s="41" t="s">
        <v>15</v>
      </c>
      <c r="V33" s="41" t="s">
        <v>19</v>
      </c>
    </row>
    <row r="34" spans="1:22" x14ac:dyDescent="0.35">
      <c r="A34" s="42"/>
      <c r="B34" s="45"/>
      <c r="C34" s="16" t="s">
        <v>13</v>
      </c>
      <c r="D34" s="24" t="s">
        <v>30</v>
      </c>
      <c r="E34" s="42"/>
      <c r="F34" s="48"/>
      <c r="G34" s="20" t="s">
        <v>26</v>
      </c>
      <c r="H34" s="1" t="s">
        <v>2</v>
      </c>
      <c r="I34" s="1" t="s">
        <v>3</v>
      </c>
      <c r="J34" s="1" t="s">
        <v>4</v>
      </c>
      <c r="K34" s="1" t="s">
        <v>5</v>
      </c>
      <c r="L34" s="1" t="s">
        <v>6</v>
      </c>
      <c r="M34" s="1" t="s">
        <v>28</v>
      </c>
      <c r="N34" s="1"/>
      <c r="O34" s="1"/>
      <c r="P34" s="1" t="s">
        <v>29</v>
      </c>
      <c r="Q34" s="39"/>
      <c r="R34" s="39"/>
      <c r="S34" s="39"/>
      <c r="T34" s="39"/>
      <c r="U34" s="42"/>
      <c r="V34" s="42"/>
    </row>
    <row r="35" spans="1:22" x14ac:dyDescent="0.35">
      <c r="A35" s="43"/>
      <c r="B35" s="46"/>
      <c r="C35" s="17"/>
      <c r="D35" s="22" t="s">
        <v>31</v>
      </c>
      <c r="E35" s="43"/>
      <c r="F35" s="49"/>
      <c r="G35" s="19" t="s">
        <v>27</v>
      </c>
      <c r="H35" s="14">
        <v>16</v>
      </c>
      <c r="I35" s="14">
        <v>18</v>
      </c>
      <c r="J35" s="14">
        <v>20</v>
      </c>
      <c r="K35" s="14">
        <v>22</v>
      </c>
      <c r="L35" s="14">
        <v>24</v>
      </c>
      <c r="M35" s="14">
        <v>26</v>
      </c>
      <c r="N35" s="14"/>
      <c r="O35" s="14"/>
      <c r="P35" s="14">
        <v>28</v>
      </c>
      <c r="Q35" s="40"/>
      <c r="R35" s="40"/>
      <c r="S35" s="40"/>
      <c r="T35" s="40"/>
      <c r="U35" s="43"/>
      <c r="V35" s="43"/>
    </row>
    <row r="36" spans="1:22" x14ac:dyDescent="0.35">
      <c r="A36" s="3">
        <v>12</v>
      </c>
      <c r="B36" s="10" t="s">
        <v>22</v>
      </c>
      <c r="C36" s="10" t="s">
        <v>24</v>
      </c>
      <c r="D36" s="10" t="s">
        <v>25</v>
      </c>
      <c r="E36" s="10" t="s">
        <v>20</v>
      </c>
      <c r="F36" s="25" t="s">
        <v>21</v>
      </c>
      <c r="G36" s="25" t="s">
        <v>26</v>
      </c>
      <c r="H36" s="11">
        <v>3</v>
      </c>
      <c r="I36" s="11">
        <v>4</v>
      </c>
      <c r="J36" s="11">
        <v>3</v>
      </c>
      <c r="K36" s="11">
        <v>2</v>
      </c>
      <c r="L36" s="11"/>
      <c r="M36" s="11"/>
      <c r="N36" s="11"/>
      <c r="O36" s="11"/>
      <c r="P36" s="11"/>
      <c r="Q36" s="2">
        <f t="shared" ref="Q36:Q37" si="11">SUM(H36:P36)</f>
        <v>12</v>
      </c>
      <c r="R36" s="4">
        <v>50000</v>
      </c>
      <c r="S36" s="4">
        <v>100000</v>
      </c>
      <c r="T36" s="4">
        <v>100000</v>
      </c>
      <c r="U36" s="3">
        <f t="shared" ref="U36:U37" si="12">Q36-A36</f>
        <v>0</v>
      </c>
      <c r="V36" s="33">
        <f t="shared" ref="V36:V37" si="13">R36*A36</f>
        <v>600000</v>
      </c>
    </row>
    <row r="37" spans="1:22" x14ac:dyDescent="0.35">
      <c r="A37" s="3">
        <v>12</v>
      </c>
      <c r="B37" s="10" t="s">
        <v>22</v>
      </c>
      <c r="C37" s="10" t="s">
        <v>32</v>
      </c>
      <c r="D37" s="10" t="s">
        <v>33</v>
      </c>
      <c r="E37" s="10" t="s">
        <v>34</v>
      </c>
      <c r="F37" s="25" t="s">
        <v>35</v>
      </c>
      <c r="G37" s="25" t="s">
        <v>27</v>
      </c>
      <c r="H37" s="11">
        <v>1</v>
      </c>
      <c r="I37" s="11">
        <v>1</v>
      </c>
      <c r="J37" s="11">
        <v>1</v>
      </c>
      <c r="K37" s="11">
        <v>1</v>
      </c>
      <c r="L37" s="11">
        <v>2</v>
      </c>
      <c r="M37" s="11">
        <v>2</v>
      </c>
      <c r="N37" s="11"/>
      <c r="O37" s="11"/>
      <c r="P37" s="11">
        <v>4</v>
      </c>
      <c r="Q37" s="2">
        <f t="shared" si="11"/>
        <v>12</v>
      </c>
      <c r="R37" s="4">
        <v>50000</v>
      </c>
      <c r="S37" s="4">
        <v>100000</v>
      </c>
      <c r="T37" s="4">
        <v>100000</v>
      </c>
      <c r="U37" s="3">
        <f t="shared" si="12"/>
        <v>0</v>
      </c>
      <c r="V37" s="33">
        <f t="shared" si="13"/>
        <v>600000</v>
      </c>
    </row>
    <row r="38" spans="1:22" x14ac:dyDescent="0.35">
      <c r="A38" s="37" t="s">
        <v>36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62" t="s">
        <v>37</v>
      </c>
      <c r="R38" s="62"/>
      <c r="S38" s="62"/>
      <c r="T38" s="62"/>
      <c r="U38" s="29" t="s">
        <v>38</v>
      </c>
      <c r="V38" s="30" t="s">
        <v>12</v>
      </c>
    </row>
    <row r="39" spans="1:22" x14ac:dyDescent="0.3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5">
        <f>SUM(Q29:Q37)</f>
        <v>24</v>
      </c>
      <c r="R39" s="35"/>
      <c r="S39" s="35"/>
      <c r="T39" s="35"/>
      <c r="U39" s="29">
        <f>SUM(U29:U37)</f>
        <v>0</v>
      </c>
      <c r="V39" s="34">
        <f>SUM(V29:V37)</f>
        <v>1200000</v>
      </c>
    </row>
  </sheetData>
  <mergeCells count="33">
    <mergeCell ref="W3:W4"/>
    <mergeCell ref="H33:P33"/>
    <mergeCell ref="A27:B27"/>
    <mergeCell ref="A26:B26"/>
    <mergeCell ref="U3:U5"/>
    <mergeCell ref="Q33:Q35"/>
    <mergeCell ref="V3:V5"/>
    <mergeCell ref="A3:A5"/>
    <mergeCell ref="B3:B5"/>
    <mergeCell ref="F3:F5"/>
    <mergeCell ref="E3:E5"/>
    <mergeCell ref="H3:P3"/>
    <mergeCell ref="A23:P24"/>
    <mergeCell ref="Q3:Q5"/>
    <mergeCell ref="R3:R5"/>
    <mergeCell ref="S3:S5"/>
    <mergeCell ref="T3:T5"/>
    <mergeCell ref="Q23:T23"/>
    <mergeCell ref="Q24:T24"/>
    <mergeCell ref="A1:V2"/>
    <mergeCell ref="Q38:T38"/>
    <mergeCell ref="Q39:T39"/>
    <mergeCell ref="A31:V32"/>
    <mergeCell ref="A38:P39"/>
    <mergeCell ref="R33:R35"/>
    <mergeCell ref="S33:S35"/>
    <mergeCell ref="T33:T35"/>
    <mergeCell ref="U33:U35"/>
    <mergeCell ref="V33:V35"/>
    <mergeCell ref="A33:A35"/>
    <mergeCell ref="B33:B35"/>
    <mergeCell ref="E33:E35"/>
    <mergeCell ref="F33:F35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LENOVO.V14.007@outlook.com</cp:lastModifiedBy>
  <cp:lastPrinted>2025-03-06T10:09:57Z</cp:lastPrinted>
  <dcterms:created xsi:type="dcterms:W3CDTF">2025-02-16T03:16:57Z</dcterms:created>
  <dcterms:modified xsi:type="dcterms:W3CDTF">2025-10-31T06:36:30Z</dcterms:modified>
</cp:coreProperties>
</file>